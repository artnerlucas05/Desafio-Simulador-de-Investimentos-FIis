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BBA5CE26-D4ED-4141-97CC-EC4369E85403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imulador Principal" sheetId="1" r:id="rId1"/>
    <sheet name="Tabela de Apoio" sheetId="2" r:id="rId2"/>
  </sheets>
  <definedNames>
    <definedName name="_xlnm._FilterDatabase" localSheetId="0" hidden="1">'Simulador Principal'!#REF!</definedName>
    <definedName name="dividendos_mensais">'Simulador Principal'!$C$18:$C$18</definedName>
    <definedName name="patrimonio_aumulado">'Simulador Principal'!$C$17:$C$17</definedName>
    <definedName name="rendimento_carteira">'Simulador Principal'!$C$10:$C$10</definedName>
    <definedName name="sugesta_investimento">'Simulador Principal'!$C$11:$C$11</definedName>
    <definedName name="sugestao_investimento">'Simulador Principal'!$C$11:$C$11</definedName>
    <definedName name="taxa_mensal">'Simulador Principal'!$C$16:$C$16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2" i="1"/>
  <c r="C22" i="1"/>
  <c r="D22" i="1"/>
  <c r="C23" i="1"/>
  <c r="D23" i="1"/>
  <c r="C24" i="1"/>
  <c r="D24" i="1"/>
  <c r="C25" i="1"/>
  <c r="D25" i="1"/>
  <c r="D34" i="1"/>
  <c r="C40" i="1"/>
  <c r="D38" i="1"/>
  <c r="I6" i="2"/>
  <c r="C17" i="1"/>
  <c r="C18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5" i="1"/>
  <c r="D36" i="1"/>
  <c r="D37" i="1"/>
  <c r="D39" i="1"/>
  <c r="D40" i="1"/>
  <c r="C11" i="1"/>
  <c r="C26" i="1"/>
  <c r="D26" i="1" s="1"/>
</calcChain>
</file>

<file path=xl/sharedStrings.xml><?xml version="1.0" encoding="utf-8"?>
<sst xmlns="http://schemas.openxmlformats.org/spreadsheetml/2006/main" count="84" uniqueCount="47">
  <si>
    <t>CONFIGURAÇÕES</t>
  </si>
  <si>
    <t>Salário</t>
  </si>
  <si>
    <t>Rendimento em Carteira</t>
  </si>
  <si>
    <t>Sugestão de Investimento</t>
  </si>
  <si>
    <t>INVESTIMENTO MENSAL</t>
  </si>
  <si>
    <t>QUANTO INVESTIR POR MÊS?</t>
  </si>
  <si>
    <t>POR QUANTOS ANOS?</t>
  </si>
  <si>
    <t>TAXA DE RENDIEMNTO MENSAL?</t>
  </si>
  <si>
    <t>PATRIMÔNIO ACUMULADO?</t>
  </si>
  <si>
    <t>DICIDENDOS MENSAIS?</t>
  </si>
  <si>
    <t>CENÁRIOS</t>
  </si>
  <si>
    <t>DIVIDENDO</t>
  </si>
  <si>
    <t>Fundos de Papel</t>
  </si>
  <si>
    <t>Qtd. de Cotas</t>
  </si>
  <si>
    <t>Valor</t>
  </si>
  <si>
    <t>Soma das Cotas</t>
  </si>
  <si>
    <t>QUANTO EM 2 ANOS?</t>
  </si>
  <si>
    <t>VGIR11</t>
  </si>
  <si>
    <t>QUANTO EM 5 ANOS?</t>
  </si>
  <si>
    <t>KNIP11</t>
  </si>
  <si>
    <t>QUANTO EM 10 ANOS?</t>
  </si>
  <si>
    <t>MXRF11</t>
  </si>
  <si>
    <t>QUANTO EM 20 ANOS?</t>
  </si>
  <si>
    <t>IRIM11</t>
  </si>
  <si>
    <t>QUANTO EM 30 ANOS?</t>
  </si>
  <si>
    <t>Cotas Adquiridas</t>
  </si>
  <si>
    <t>Sobra</t>
  </si>
  <si>
    <t>Perfil</t>
  </si>
  <si>
    <t>Conservador</t>
  </si>
  <si>
    <t>Valor a ser investido por mês</t>
  </si>
  <si>
    <t>Ti po de FII</t>
  </si>
  <si>
    <t>Valores Sugeridos</t>
  </si>
  <si>
    <t>Valores</t>
  </si>
  <si>
    <t>PAPEL</t>
  </si>
  <si>
    <t>HÍBRIDOS</t>
  </si>
  <si>
    <t>TIJOLO</t>
  </si>
  <si>
    <t>FOFs</t>
  </si>
  <si>
    <t>DESENVOLVIMENTO</t>
  </si>
  <si>
    <t>HOTELARIAS</t>
  </si>
  <si>
    <t>SOMA TOTAL</t>
  </si>
  <si>
    <t>CHAVE</t>
  </si>
  <si>
    <t>PERFIL</t>
  </si>
  <si>
    <t>%</t>
  </si>
  <si>
    <t>Chave</t>
  </si>
  <si>
    <t>Moderado-PAPEL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</si>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</sst>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FF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9C5700"/>
      <name val="Calibri"/>
      <scheme val="minor"/>
    </font>
    <font>
      <sz val="11"/>
      <color rgb="FF9C5700"/>
      <name val="Calibri"/>
      <charset val="1"/>
    </font>
    <font>
      <sz val="10"/>
      <color theme="1"/>
      <name val="Arial"/>
      <charset val="1"/>
    </font>
    <font>
      <sz val="10"/>
      <color theme="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theme="2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theme="2"/>
      </right>
      <top style="thin">
        <color rgb="FF000000"/>
      </top>
      <bottom style="thick">
        <color rgb="FF000000"/>
      </bottom>
      <diagonal/>
    </border>
    <border>
      <left style="thin">
        <color theme="2"/>
      </left>
      <right style="thin">
        <color theme="2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62">
    <xf numFmtId="0" fontId="0" fillId="0" borderId="0" xfId="0"/>
    <xf numFmtId="8" fontId="0" fillId="0" borderId="0" xfId="0" applyNumberFormat="1"/>
    <xf numFmtId="0" fontId="1" fillId="0" borderId="0" xfId="0" applyFont="1"/>
    <xf numFmtId="0" fontId="0" fillId="0" borderId="1" xfId="0" applyFont="1" applyBorder="1"/>
    <xf numFmtId="10" fontId="0" fillId="0" borderId="1" xfId="0" applyNumberFormat="1" applyFont="1" applyBorder="1"/>
    <xf numFmtId="8" fontId="0" fillId="0" borderId="1" xfId="0" applyNumberFormat="1" applyFont="1" applyBorder="1"/>
    <xf numFmtId="0" fontId="0" fillId="0" borderId="4" xfId="0" applyFont="1" applyBorder="1"/>
    <xf numFmtId="8" fontId="4" fillId="0" borderId="5" xfId="0" applyNumberFormat="1" applyFont="1" applyBorder="1"/>
    <xf numFmtId="0" fontId="2" fillId="2" borderId="6" xfId="0" applyFont="1" applyFill="1" applyBorder="1" applyAlignment="1"/>
    <xf numFmtId="0" fontId="0" fillId="2" borderId="7" xfId="0" applyFill="1" applyBorder="1" applyAlignment="1"/>
    <xf numFmtId="0" fontId="1" fillId="2" borderId="8" xfId="0" applyFont="1" applyFill="1" applyBorder="1" applyAlignment="1"/>
    <xf numFmtId="0" fontId="4" fillId="0" borderId="9" xfId="0" applyFont="1" applyBorder="1"/>
    <xf numFmtId="8" fontId="4" fillId="0" borderId="10" xfId="0" applyNumberFormat="1" applyFont="1" applyBorder="1"/>
    <xf numFmtId="0" fontId="4" fillId="0" borderId="11" xfId="0" applyFont="1" applyBorder="1"/>
    <xf numFmtId="8" fontId="4" fillId="0" borderId="12" xfId="0" applyNumberFormat="1" applyFont="1" applyBorder="1"/>
    <xf numFmtId="9" fontId="0" fillId="0" borderId="0" xfId="0" applyNumberFormat="1"/>
    <xf numFmtId="0" fontId="0" fillId="0" borderId="0" xfId="0" applyAlignment="1"/>
    <xf numFmtId="0" fontId="0" fillId="0" borderId="0" xfId="0" applyBorder="1"/>
    <xf numFmtId="0" fontId="0" fillId="0" borderId="13" xfId="0" applyBorder="1"/>
    <xf numFmtId="0" fontId="0" fillId="0" borderId="14" xfId="0" applyBorder="1"/>
    <xf numFmtId="9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wrapText="1"/>
    </xf>
    <xf numFmtId="0" fontId="1" fillId="2" borderId="0" xfId="0" applyFont="1" applyFill="1"/>
    <xf numFmtId="0" fontId="5" fillId="4" borderId="0" xfId="1"/>
    <xf numFmtId="0" fontId="6" fillId="0" borderId="0" xfId="0" applyFont="1"/>
    <xf numFmtId="164" fontId="0" fillId="0" borderId="0" xfId="0" applyNumberFormat="1"/>
    <xf numFmtId="0" fontId="0" fillId="6" borderId="0" xfId="0" applyFill="1"/>
    <xf numFmtId="9" fontId="0" fillId="0" borderId="19" xfId="0" applyNumberFormat="1" applyBorder="1"/>
    <xf numFmtId="0" fontId="0" fillId="3" borderId="0" xfId="0" applyFill="1" applyBorder="1"/>
    <xf numFmtId="0" fontId="5" fillId="4" borderId="1" xfId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9" xfId="0" applyFill="1" applyBorder="1"/>
    <xf numFmtId="0" fontId="0" fillId="7" borderId="19" xfId="0" applyFill="1" applyBorder="1" applyAlignment="1">
      <alignment horizontal="center"/>
    </xf>
    <xf numFmtId="0" fontId="0" fillId="7" borderId="0" xfId="0" applyFill="1"/>
    <xf numFmtId="0" fontId="0" fillId="7" borderId="19" xfId="0" applyFill="1" applyBorder="1"/>
    <xf numFmtId="0" fontId="0" fillId="8" borderId="19" xfId="0" applyFill="1" applyBorder="1" applyAlignment="1">
      <alignment horizontal="center"/>
    </xf>
    <xf numFmtId="0" fontId="0" fillId="8" borderId="0" xfId="0" applyFill="1"/>
    <xf numFmtId="9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1" xfId="0" applyBorder="1"/>
    <xf numFmtId="0" fontId="1" fillId="2" borderId="17" xfId="0" applyFont="1" applyFill="1" applyBorder="1"/>
    <xf numFmtId="0" fontId="8" fillId="2" borderId="20" xfId="0" applyFont="1" applyFill="1" applyBorder="1"/>
    <xf numFmtId="0" fontId="1" fillId="2" borderId="20" xfId="0" applyFont="1" applyFill="1" applyBorder="1" applyAlignment="1">
      <alignment horizontal="center"/>
    </xf>
    <xf numFmtId="0" fontId="0" fillId="0" borderId="4" xfId="0" applyBorder="1"/>
    <xf numFmtId="164" fontId="0" fillId="0" borderId="21" xfId="0" applyNumberFormat="1" applyBorder="1"/>
    <xf numFmtId="164" fontId="7" fillId="0" borderId="0" xfId="0" applyNumberFormat="1" applyFont="1"/>
    <xf numFmtId="164" fontId="0" fillId="3" borderId="1" xfId="0" applyNumberFormat="1" applyFill="1" applyBorder="1"/>
    <xf numFmtId="164" fontId="0" fillId="3" borderId="22" xfId="0" applyNumberFormat="1" applyFill="1" applyBorder="1"/>
    <xf numFmtId="164" fontId="0" fillId="9" borderId="4" xfId="0" applyNumberFormat="1" applyFill="1" applyBorder="1"/>
    <xf numFmtId="8" fontId="0" fillId="10" borderId="1" xfId="0" applyNumberFormat="1" applyFill="1" applyBorder="1"/>
    <xf numFmtId="164" fontId="1" fillId="2" borderId="0" xfId="0" applyNumberFormat="1" applyFont="1" applyFill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'Simulador Principal'!$C$33</c:f>
              <c:strCache>
                <c:ptCount val="1"/>
                <c:pt idx="0">
                  <c:v>Valores Sugeridos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E-42B9-B25F-4B7008028B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E-42B9-B25F-4B7008028B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E-42B9-B25F-4B7008028B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E-42B9-B25F-4B7008028B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E-42B9-B25F-4B7008028B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DE-42B9-B25F-4B7008028BE8}"/>
              </c:ext>
            </c:extLst>
          </c:dPt>
          <c:cat>
            <c:strRef>
              <c:f>'Simulador Principal'!$B$34:$B$39</c:f>
              <c:strCache>
                <c:ptCount val="6"/>
                <c:pt idx="0">
                  <c:v>PAPEL</c:v>
                </c:pt>
                <c:pt idx="1">
                  <c:v>HÍBRIDOS</c:v>
                </c:pt>
                <c:pt idx="2">
                  <c:v>TIJOLO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Principal'!$C$34:$C$39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5-4CC3-9575-A907F36E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76200</xdr:rowOff>
    </xdr:from>
    <xdr:to>
      <xdr:col>5</xdr:col>
      <xdr:colOff>390525</xdr:colOff>
      <xdr:row>3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C4005-6FC9-779B-A689-F9F6304CFF0C}"/>
            </a:ext>
            <a:ext uri="{147F2762-F138-4A5C-976F-8EAC2B608ADB}">
              <a16:predDERef xmlns:a16="http://schemas.microsoft.com/office/drawing/2014/main" pred="{946EF456-A7DC-E1E0-3AA3-83F1C87BD852}"/>
            </a:ext>
          </a:extLst>
        </xdr:cNvPr>
        <xdr:cNvSpPr txBox="1"/>
      </xdr:nvSpPr>
      <xdr:spPr>
        <a:xfrm>
          <a:off x="0" y="266700"/>
          <a:ext cx="4953000" cy="485775"/>
        </a:xfrm>
        <a:prstGeom prst="roundRect">
          <a:avLst/>
        </a:prstGeom>
        <a:solidFill>
          <a:schemeClr val="accent1"/>
        </a:soli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Consolas" panose="020B0609020204030204" pitchFamily="49" charset="0"/>
            </a:rPr>
            <a:t>Lucas Invest</a:t>
          </a:r>
        </a:p>
      </xdr:txBody>
    </xdr:sp>
    <xdr:clientData/>
  </xdr:twoCellAnchor>
  <xdr:twoCellAnchor>
    <xdr:from>
      <xdr:col>1</xdr:col>
      <xdr:colOff>47625</xdr:colOff>
      <xdr:row>41</xdr:row>
      <xdr:rowOff>142875</xdr:rowOff>
    </xdr:from>
    <xdr:to>
      <xdr:col>3</xdr:col>
      <xdr:colOff>1571625</xdr:colOff>
      <xdr:row>53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CEF6A7-EA04-6326-BB97-2E70ACE350DE}"/>
            </a:ext>
            <a:ext uri="{147F2762-F138-4A5C-976F-8EAC2B608ADB}">
              <a16:predDERef xmlns:a16="http://schemas.microsoft.com/office/drawing/2014/main" pred="{25CC4005-6FC9-779B-A689-F9F6304CF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K42"/>
  <sheetViews>
    <sheetView tabSelected="1" topLeftCell="A19" workbookViewId="0">
      <selection activeCell="I26" sqref="I26"/>
    </sheetView>
  </sheetViews>
  <sheetFormatPr defaultRowHeight="15"/>
  <cols>
    <col min="2" max="2" width="29" bestFit="1" customWidth="1"/>
    <col min="3" max="3" width="19.5703125" customWidth="1"/>
    <col min="4" max="4" width="23.85546875" customWidth="1"/>
    <col min="5" max="5" width="23.28515625" customWidth="1"/>
    <col min="7" max="7" width="15" bestFit="1" customWidth="1"/>
    <col min="8" max="8" width="29.42578125" customWidth="1"/>
    <col min="9" max="9" width="21.140625" bestFit="1" customWidth="1"/>
    <col min="10" max="10" width="26.140625" customWidth="1"/>
  </cols>
  <sheetData>
    <row r="8" spans="2:8">
      <c r="B8" s="48" t="s">
        <v>0</v>
      </c>
      <c r="C8" s="49"/>
    </row>
    <row r="9" spans="2:8">
      <c r="B9" s="18" t="s">
        <v>1</v>
      </c>
      <c r="C9" s="19">
        <v>4000</v>
      </c>
    </row>
    <row r="10" spans="2:8">
      <c r="B10" s="18" t="s">
        <v>2</v>
      </c>
      <c r="C10" s="20">
        <v>0.01</v>
      </c>
    </row>
    <row r="11" spans="2:8">
      <c r="B11" s="21" t="s">
        <v>3</v>
      </c>
      <c r="C11" s="22">
        <f>(C9*30%)</f>
        <v>1200</v>
      </c>
    </row>
    <row r="13" spans="2:8">
      <c r="B13" s="44" t="s">
        <v>4</v>
      </c>
      <c r="C13" s="45"/>
      <c r="G13" s="16"/>
      <c r="H13" s="16"/>
    </row>
    <row r="14" spans="2:8">
      <c r="B14" s="6" t="s">
        <v>5</v>
      </c>
      <c r="C14" s="6">
        <v>1200</v>
      </c>
    </row>
    <row r="15" spans="2:8">
      <c r="B15" s="3" t="s">
        <v>6</v>
      </c>
      <c r="C15" s="3">
        <v>5</v>
      </c>
    </row>
    <row r="16" spans="2:8">
      <c r="B16" s="3" t="s">
        <v>7</v>
      </c>
      <c r="C16" s="4">
        <v>1.0789999999999999E-2</v>
      </c>
    </row>
    <row r="17" spans="1:11">
      <c r="B17" s="3" t="s">
        <v>8</v>
      </c>
      <c r="C17" s="5">
        <f>FV(C16,C15*12,C14*-1)</f>
        <v>100532.29679818517</v>
      </c>
    </row>
    <row r="18" spans="1:11">
      <c r="B18" s="3" t="s">
        <v>9</v>
      </c>
      <c r="C18" s="5">
        <f>C17*C16</f>
        <v>1084.743482452418</v>
      </c>
      <c r="F18" s="15"/>
    </row>
    <row r="19" spans="1:11">
      <c r="C19" s="1"/>
    </row>
    <row r="20" spans="1:11">
      <c r="B20" s="46" t="s">
        <v>4</v>
      </c>
      <c r="C20" s="47"/>
    </row>
    <row r="21" spans="1:11">
      <c r="B21" s="8" t="s">
        <v>10</v>
      </c>
      <c r="C21" s="9"/>
      <c r="D21" s="10" t="s">
        <v>11</v>
      </c>
      <c r="G21" s="51" t="s">
        <v>12</v>
      </c>
      <c r="H21" s="52" t="s">
        <v>13</v>
      </c>
      <c r="I21" s="53" t="s">
        <v>14</v>
      </c>
      <c r="J21" s="53" t="s">
        <v>15</v>
      </c>
    </row>
    <row r="22" spans="1:11">
      <c r="A22" s="2">
        <v>2</v>
      </c>
      <c r="B22" s="11" t="s">
        <v>16</v>
      </c>
      <c r="C22" s="7">
        <f>FV($C$16,$A22*12,$C$14*-1)</f>
        <v>32673.152757174259</v>
      </c>
      <c r="D22" s="12">
        <f>(C22*$C$10)</f>
        <v>326.73152757174262</v>
      </c>
      <c r="G22" s="54" t="s">
        <v>17</v>
      </c>
      <c r="H22" s="54">
        <v>10</v>
      </c>
      <c r="I22" s="55">
        <v>9.93</v>
      </c>
      <c r="J22" s="57">
        <f>(H22*I22)</f>
        <v>99.3</v>
      </c>
    </row>
    <row r="23" spans="1:11">
      <c r="A23" s="2">
        <v>5</v>
      </c>
      <c r="B23" s="11" t="s">
        <v>18</v>
      </c>
      <c r="C23" s="7">
        <f t="shared" ref="C23:C26" si="0">FV($C$16,$A23*12,$C$14*-1)</f>
        <v>100532.29679818517</v>
      </c>
      <c r="D23" s="12">
        <f>(C23*$C$10)</f>
        <v>1005.3229679818517</v>
      </c>
      <c r="G23" s="50" t="s">
        <v>19</v>
      </c>
      <c r="H23" s="50">
        <v>1</v>
      </c>
      <c r="I23" s="55">
        <v>90.64</v>
      </c>
      <c r="J23" s="57">
        <f>(H23*I23)</f>
        <v>90.64</v>
      </c>
    </row>
    <row r="24" spans="1:11">
      <c r="A24" s="2">
        <v>10</v>
      </c>
      <c r="B24" s="11" t="s">
        <v>20</v>
      </c>
      <c r="C24" s="7">
        <f t="shared" si="0"/>
        <v>291941.05503620661</v>
      </c>
      <c r="D24" s="12">
        <f>(C24*$C$10)</f>
        <v>2919.4105503620663</v>
      </c>
      <c r="G24" s="50" t="s">
        <v>21</v>
      </c>
      <c r="H24" s="50">
        <v>10</v>
      </c>
      <c r="I24" s="56">
        <v>9.51</v>
      </c>
      <c r="J24" s="57">
        <f>(H24*I24)</f>
        <v>95.1</v>
      </c>
    </row>
    <row r="25" spans="1:11">
      <c r="A25" s="2">
        <v>20</v>
      </c>
      <c r="B25" s="11" t="s">
        <v>22</v>
      </c>
      <c r="C25" s="7">
        <f t="shared" si="0"/>
        <v>1350238.0801164967</v>
      </c>
      <c r="D25" s="12">
        <f>(C25*$C$10)</f>
        <v>13502.380801164967</v>
      </c>
      <c r="G25" s="50" t="s">
        <v>23</v>
      </c>
      <c r="H25" s="50">
        <v>1</v>
      </c>
      <c r="I25" s="55">
        <v>68.650000000000006</v>
      </c>
      <c r="J25" s="58">
        <f>(H25*I25)</f>
        <v>68.650000000000006</v>
      </c>
    </row>
    <row r="26" spans="1:11">
      <c r="A26" s="2">
        <v>30</v>
      </c>
      <c r="B26" s="13" t="s">
        <v>24</v>
      </c>
      <c r="C26" s="14">
        <f t="shared" si="0"/>
        <v>5186603.586005657</v>
      </c>
      <c r="D26" s="12">
        <f>(C26*$C$10)</f>
        <v>51866.035860056574</v>
      </c>
      <c r="I26" s="61" t="s">
        <v>25</v>
      </c>
      <c r="J26" s="60">
        <f>SUM(J22:J25)</f>
        <v>353.68999999999994</v>
      </c>
      <c r="K26" s="17"/>
    </row>
    <row r="27" spans="1:11">
      <c r="C27" s="1"/>
      <c r="I27" s="24" t="s">
        <v>26</v>
      </c>
      <c r="J27" s="59">
        <f>(D34-J26)</f>
        <v>6.3100000000000591</v>
      </c>
    </row>
    <row r="28" spans="1:11">
      <c r="E28" s="30"/>
    </row>
    <row r="30" spans="1:11">
      <c r="B30" t="s">
        <v>27</v>
      </c>
      <c r="C30" s="25" t="s">
        <v>28</v>
      </c>
      <c r="D30" s="23"/>
    </row>
    <row r="31" spans="1:11">
      <c r="B31" s="23" t="s">
        <v>29</v>
      </c>
      <c r="C31">
        <v>1200</v>
      </c>
    </row>
    <row r="33" spans="2:10">
      <c r="B33" s="24" t="s">
        <v>30</v>
      </c>
      <c r="C33" s="24" t="s">
        <v>31</v>
      </c>
      <c r="D33" s="24" t="s">
        <v>32</v>
      </c>
    </row>
    <row r="34" spans="2:10">
      <c r="B34" t="s">
        <v>33</v>
      </c>
      <c r="C34" s="15">
        <v>0.3</v>
      </c>
      <c r="D34" s="27">
        <f>C34*$C$31</f>
        <v>360</v>
      </c>
    </row>
    <row r="35" spans="2:10">
      <c r="B35" t="s">
        <v>34</v>
      </c>
      <c r="C35" s="15">
        <v>0.3</v>
      </c>
      <c r="D35" s="27">
        <f t="shared" ref="D35:D37" si="1">C35*$C$31</f>
        <v>360</v>
      </c>
    </row>
    <row r="36" spans="2:10">
      <c r="B36" t="s">
        <v>35</v>
      </c>
      <c r="C36" s="15">
        <v>0.1</v>
      </c>
      <c r="D36" s="27">
        <f t="shared" si="1"/>
        <v>120</v>
      </c>
    </row>
    <row r="37" spans="2:10">
      <c r="B37" t="s">
        <v>36</v>
      </c>
      <c r="C37" s="15">
        <v>0.1</v>
      </c>
      <c r="D37" s="27">
        <f t="shared" si="1"/>
        <v>120</v>
      </c>
    </row>
    <row r="38" spans="2:10">
      <c r="B38" t="s">
        <v>37</v>
      </c>
      <c r="C38" s="15">
        <v>0.1</v>
      </c>
      <c r="D38" s="27">
        <f>C38*$C$31</f>
        <v>120</v>
      </c>
      <c r="G38" s="17"/>
      <c r="H38" s="17"/>
      <c r="I38" s="17"/>
      <c r="J38" s="17"/>
    </row>
    <row r="39" spans="2:10">
      <c r="B39" t="s">
        <v>38</v>
      </c>
      <c r="C39" s="15">
        <v>0.1</v>
      </c>
      <c r="D39" s="27">
        <f t="shared" ref="D35:D39" si="2">C39*$C$31</f>
        <v>120</v>
      </c>
      <c r="G39" s="17"/>
      <c r="H39" s="17"/>
      <c r="I39" s="17"/>
      <c r="J39" s="17"/>
    </row>
    <row r="40" spans="2:10">
      <c r="B40" s="28" t="s">
        <v>39</v>
      </c>
      <c r="C40" s="15">
        <f>SUM(C34:C39)</f>
        <v>0.99999999999999989</v>
      </c>
      <c r="D40" s="28">
        <f>SUM(D34:D39)</f>
        <v>1200</v>
      </c>
    </row>
    <row r="42" spans="2:10">
      <c r="D42" s="26"/>
    </row>
  </sheetData>
  <sortState xmlns:xlrd2="http://schemas.microsoft.com/office/spreadsheetml/2017/richdata2" ref="B31:D31">
    <sortCondition ref="B31"/>
  </sortState>
  <mergeCells count="3">
    <mergeCell ref="B13:C13"/>
    <mergeCell ref="B20:C20"/>
    <mergeCell ref="B8:C8"/>
  </mergeCells>
  <dataValidations count="3">
    <dataValidation type="list" allowBlank="1" showInputMessage="1" showErrorMessage="1" sqref="D30" xr:uid="{0BFFFAA2-ED43-4FC0-9142-33C6B926F612}">
      <formula1>"Conservador; Moderado"</formula1>
    </dataValidation>
    <dataValidation type="list" allowBlank="1" showInputMessage="1" showErrorMessage="1" sqref="C30" xr:uid="{A305845F-87AD-432B-BBF0-E1869A08DC3B}">
      <formula1>"Agressivo, Moderado, Conservador"</formula1>
    </dataValidation>
    <dataValidation type="custom" allowBlank="1" showInputMessage="1" showErrorMessage="1" sqref="D42" xr:uid="{221AE362-19BE-4386-8D29-8B03B13D52E8}">
      <formula1>"Conservador; Moderado;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B587-C194-4434-9793-F22E0E76EA0C}">
  <dimension ref="A2:I20"/>
  <sheetViews>
    <sheetView workbookViewId="0">
      <selection activeCell="G4" sqref="G4"/>
    </sheetView>
  </sheetViews>
  <sheetFormatPr defaultRowHeight="15"/>
  <cols>
    <col min="1" max="1" width="30.140625" bestFit="1" customWidth="1"/>
    <col min="2" max="2" width="18.42578125" bestFit="1" customWidth="1"/>
    <col min="3" max="3" width="30.140625" bestFit="1" customWidth="1"/>
    <col min="4" max="4" width="9.5703125" bestFit="1" customWidth="1"/>
    <col min="8" max="8" width="16.7109375" bestFit="1" customWidth="1"/>
    <col min="9" max="9" width="24.5703125" customWidth="1"/>
  </cols>
  <sheetData>
    <row r="2" spans="1:9">
      <c r="A2" s="34" t="s">
        <v>40</v>
      </c>
      <c r="B2" s="24" t="s">
        <v>41</v>
      </c>
      <c r="C2" s="24" t="s">
        <v>30</v>
      </c>
      <c r="D2" t="s">
        <v>42</v>
      </c>
    </row>
    <row r="3" spans="1:9">
      <c r="A3" s="35" t="str">
        <f>B3&amp;"-"&amp;C3</f>
        <v>Conservador-PAPEL</v>
      </c>
      <c r="B3" s="28" t="s">
        <v>28</v>
      </c>
      <c r="C3" s="28" t="s">
        <v>33</v>
      </c>
      <c r="D3" s="15">
        <v>0.3</v>
      </c>
    </row>
    <row r="4" spans="1:9">
      <c r="A4" s="35" t="str">
        <f t="shared" ref="A4:A20" si="0">B4&amp;"-"&amp;C4</f>
        <v>Conservador-HÍBRIDOS</v>
      </c>
      <c r="B4" s="28" t="s">
        <v>28</v>
      </c>
      <c r="C4" s="28" t="s">
        <v>34</v>
      </c>
      <c r="D4" s="15">
        <v>0.5</v>
      </c>
    </row>
    <row r="5" spans="1:9">
      <c r="A5" s="35" t="str">
        <f t="shared" si="0"/>
        <v>Conservador-TIJOLO</v>
      </c>
      <c r="B5" s="28" t="s">
        <v>28</v>
      </c>
      <c r="C5" s="28" t="s">
        <v>35</v>
      </c>
      <c r="D5" s="15">
        <v>0.1</v>
      </c>
      <c r="H5" s="32" t="s">
        <v>43</v>
      </c>
      <c r="I5" s="33" t="s">
        <v>42</v>
      </c>
    </row>
    <row r="6" spans="1:9">
      <c r="A6" s="35" t="str">
        <f t="shared" si="0"/>
        <v>Conservador-FOFs</v>
      </c>
      <c r="B6" s="28" t="s">
        <v>28</v>
      </c>
      <c r="C6" s="28" t="s">
        <v>36</v>
      </c>
      <c r="D6" s="15">
        <v>0.1</v>
      </c>
      <c r="H6" s="31" t="s">
        <v>44</v>
      </c>
      <c r="I6" s="31">
        <f>VLOOKUP(H6,$A:$D,4,FALSE)</f>
        <v>0.32</v>
      </c>
    </row>
    <row r="7" spans="1:9">
      <c r="A7" s="35" t="str">
        <f t="shared" si="0"/>
        <v>Conservador-DESENVOLVIMENTO</v>
      </c>
      <c r="B7" s="28" t="s">
        <v>28</v>
      </c>
      <c r="C7" s="28" t="s">
        <v>37</v>
      </c>
      <c r="D7" s="15">
        <v>0</v>
      </c>
    </row>
    <row r="8" spans="1:9">
      <c r="A8" s="36" t="str">
        <f t="shared" si="0"/>
        <v>Conservador-HOTELARIAS</v>
      </c>
      <c r="B8" s="37" t="s">
        <v>28</v>
      </c>
      <c r="C8" s="37" t="s">
        <v>38</v>
      </c>
      <c r="D8" s="29">
        <v>0</v>
      </c>
    </row>
    <row r="9" spans="1:9">
      <c r="A9" s="38" t="str">
        <f t="shared" si="0"/>
        <v>Moderado-PAPEL</v>
      </c>
      <c r="B9" s="39" t="s">
        <v>45</v>
      </c>
      <c r="C9" s="39" t="s">
        <v>33</v>
      </c>
      <c r="D9" s="43">
        <v>0.32</v>
      </c>
    </row>
    <row r="10" spans="1:9">
      <c r="A10" s="38" t="str">
        <f t="shared" si="0"/>
        <v>Moderado-HÍBRIDOS</v>
      </c>
      <c r="B10" s="39" t="s">
        <v>45</v>
      </c>
      <c r="C10" s="39" t="s">
        <v>34</v>
      </c>
      <c r="D10" s="15">
        <v>0.4</v>
      </c>
    </row>
    <row r="11" spans="1:9">
      <c r="A11" s="38" t="str">
        <f t="shared" si="0"/>
        <v>Moderado-TIJOLO</v>
      </c>
      <c r="B11" s="39" t="s">
        <v>45</v>
      </c>
      <c r="C11" s="39" t="s">
        <v>35</v>
      </c>
      <c r="D11" s="15">
        <v>0.08</v>
      </c>
    </row>
    <row r="12" spans="1:9">
      <c r="A12" s="38" t="str">
        <f t="shared" si="0"/>
        <v>Moderado-FOFs</v>
      </c>
      <c r="B12" s="39" t="s">
        <v>45</v>
      </c>
      <c r="C12" s="39" t="s">
        <v>36</v>
      </c>
      <c r="D12" s="15">
        <v>0.1</v>
      </c>
    </row>
    <row r="13" spans="1:9">
      <c r="A13" s="38" t="str">
        <f t="shared" si="0"/>
        <v>Moderado-DESENVOLVIMENTO</v>
      </c>
      <c r="B13" s="39" t="s">
        <v>45</v>
      </c>
      <c r="C13" s="39" t="s">
        <v>37</v>
      </c>
      <c r="D13" s="15">
        <v>0.1</v>
      </c>
    </row>
    <row r="14" spans="1:9">
      <c r="A14" s="38" t="str">
        <f t="shared" si="0"/>
        <v>Moderado-HOTELARIAS</v>
      </c>
      <c r="B14" s="40" t="s">
        <v>45</v>
      </c>
      <c r="C14" s="40" t="s">
        <v>38</v>
      </c>
      <c r="D14" s="29">
        <v>0.1</v>
      </c>
      <c r="E14" s="17"/>
      <c r="F14" s="17"/>
    </row>
    <row r="15" spans="1:9">
      <c r="A15" s="41" t="str">
        <f t="shared" si="0"/>
        <v>Agressivo-PAPEL</v>
      </c>
      <c r="B15" s="42" t="s">
        <v>46</v>
      </c>
      <c r="C15" s="42" t="s">
        <v>33</v>
      </c>
      <c r="D15" s="15">
        <v>0.5</v>
      </c>
    </row>
    <row r="16" spans="1:9">
      <c r="A16" s="41" t="str">
        <f t="shared" si="0"/>
        <v>Agressivo-HÍBRIDOS</v>
      </c>
      <c r="B16" s="42" t="s">
        <v>46</v>
      </c>
      <c r="C16" s="42" t="s">
        <v>34</v>
      </c>
      <c r="D16" s="15">
        <v>0.1</v>
      </c>
    </row>
    <row r="17" spans="1:4">
      <c r="A17" s="41" t="str">
        <f t="shared" si="0"/>
        <v>Agressivo-TIJOLO</v>
      </c>
      <c r="B17" s="42" t="s">
        <v>46</v>
      </c>
      <c r="C17" s="42" t="s">
        <v>35</v>
      </c>
      <c r="D17" s="15">
        <v>0.05</v>
      </c>
    </row>
    <row r="18" spans="1:4">
      <c r="A18" s="41" t="str">
        <f t="shared" si="0"/>
        <v>Agressivo-FOFs</v>
      </c>
      <c r="B18" s="42" t="s">
        <v>46</v>
      </c>
      <c r="C18" s="42" t="s">
        <v>36</v>
      </c>
      <c r="D18" s="15">
        <v>0.05</v>
      </c>
    </row>
    <row r="19" spans="1:4">
      <c r="A19" s="41" t="str">
        <f t="shared" si="0"/>
        <v>Agressivo-DESENVOLVIMENTO</v>
      </c>
      <c r="B19" s="42" t="s">
        <v>46</v>
      </c>
      <c r="C19" s="42" t="s">
        <v>37</v>
      </c>
      <c r="D19" s="15">
        <v>0.2</v>
      </c>
    </row>
    <row r="20" spans="1:4">
      <c r="A20" s="41" t="str">
        <f t="shared" si="0"/>
        <v>Agressivo-HOTELARIAS</v>
      </c>
      <c r="B20" s="42" t="s">
        <v>46</v>
      </c>
      <c r="C20" s="42" t="s">
        <v>38</v>
      </c>
      <c r="D20" s="1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2026-02-02T12:27:19Z</dcterms:created>
  <dcterms:modified xsi:type="dcterms:W3CDTF">2026-02-03T14:27:17Z</dcterms:modified>
  <cp:category/>
  <cp:contentStatus/>
</cp:coreProperties>
</file>